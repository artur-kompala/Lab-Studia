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z\PycharmProjects\Lab - Studia\Lab-ADWB\"/>
    </mc:Choice>
  </mc:AlternateContent>
  <xr:revisionPtr revIDLastSave="0" documentId="13_ncr:1_{3FE68BC5-DEFD-48CF-B435-F55A7C74A306}" xr6:coauthVersionLast="47" xr6:coauthVersionMax="47" xr10:uidLastSave="{00000000-0000-0000-0000-000000000000}"/>
  <bookViews>
    <workbookView xWindow="-98" yWindow="-98" windowWidth="21795" windowHeight="13695" xr2:uid="{2E7C58AB-C5CD-4E98-BC56-924F3B5C1FB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/>
  <c r="C20" i="1"/>
  <c r="B20" i="1"/>
  <c r="C19" i="1"/>
  <c r="B19" i="1"/>
  <c r="C17" i="1"/>
  <c r="B17" i="1"/>
  <c r="C16" i="1"/>
  <c r="B16" i="1"/>
</calcChain>
</file>

<file path=xl/sharedStrings.xml><?xml version="1.0" encoding="utf-8"?>
<sst xmlns="http://schemas.openxmlformats.org/spreadsheetml/2006/main" count="45" uniqueCount="33">
  <si>
    <t>Strategia I</t>
  </si>
  <si>
    <t>Stategia II</t>
  </si>
  <si>
    <t>Strategia II</t>
  </si>
  <si>
    <t>Strategia III</t>
  </si>
  <si>
    <t>Strategia IV</t>
  </si>
  <si>
    <t>Strategia V</t>
  </si>
  <si>
    <t>MIN wiersza</t>
  </si>
  <si>
    <t>MAX kolmny</t>
  </si>
  <si>
    <t>MAXIMIN</t>
  </si>
  <si>
    <t>MINIMAX</t>
  </si>
  <si>
    <t>Ponieważ Maximin (-3) != MiniMax(0), gra nie posiada punktu siodłowego rozwiązaniem są strategie mieszane.</t>
  </si>
  <si>
    <t>Strategia Gracza 2</t>
  </si>
  <si>
    <t>Oczekiwana wypłata E(p)</t>
  </si>
  <si>
    <t>E1=-4p+4(1-p)=4-8p</t>
  </si>
  <si>
    <t>E2=2p+(-1)(1-p)=3p-1</t>
  </si>
  <si>
    <t>E3=0p+0(1-p)=0</t>
  </si>
  <si>
    <t>E4=3p+(-3)(1-p)=6p-3</t>
  </si>
  <si>
    <t>E5=2-p+1(1-p)=1-3p</t>
  </si>
  <si>
    <t>p_opt</t>
  </si>
  <si>
    <t>v_opt</t>
  </si>
  <si>
    <t>3p+(-2)(1-q)=(-3)q+1(1+q)</t>
  </si>
  <si>
    <t>3q−2+2q=−3q+1−q</t>
  </si>
  <si>
    <t>5q−2=1−4q</t>
  </si>
  <si>
    <t>9q=3</t>
  </si>
  <si>
    <t>q=1/3</t>
  </si>
  <si>
    <t>Element</t>
  </si>
  <si>
    <t>Wartość gry</t>
  </si>
  <si>
    <t>Strategia Gracza 1</t>
  </si>
  <si>
    <t>Wartość</t>
  </si>
  <si>
    <t>v=-1/3</t>
  </si>
  <si>
    <t>(4/9,5/9)</t>
  </si>
  <si>
    <t>(0,0,0,1/3,2/3)</t>
  </si>
  <si>
    <t>Gra jest korzystna dla Gracza 2 (kolumnowego), ponieważ wartość gry jest ujemna. Przy optymalnej grze obu stron, Gracz 2 wygrywa średnio 1/3 jednostki na każdą rozgrywkę. Gracz 1 powinien losować między swoimi strategiami w proporcji 4:5, natomiast Gracz 2 powinien używać wyłącznie strategii IV i V w proporcji 1:2, całkowicie ignorując strategie I, II i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</si>
</sst>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Arkusz1!$A$16</c:f>
              <c:strCache>
                <c:ptCount val="1"/>
                <c:pt idx="0">
                  <c:v>Strategia 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Arkusz1!$B$16:$C$16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6-4823-A4F0-C9245C26FE96}"/>
            </c:ext>
          </c:extLst>
        </c:ser>
        <c:ser>
          <c:idx val="1"/>
          <c:order val="1"/>
          <c:tx>
            <c:strRef>
              <c:f>Arkusz1!$A$17</c:f>
              <c:strCache>
                <c:ptCount val="1"/>
                <c:pt idx="0">
                  <c:v>Strategia II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Arkusz1!$B$17:$C$17</c:f>
              <c:numCache>
                <c:formatCode>General</c:formatCode>
                <c:ptCount val="2"/>
                <c:pt idx="0">
                  <c:v>-1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6-4823-A4F0-C9245C26FE96}"/>
            </c:ext>
          </c:extLst>
        </c:ser>
        <c:ser>
          <c:idx val="2"/>
          <c:order val="2"/>
          <c:tx>
            <c:strRef>
              <c:f>Arkusz1!$A$18</c:f>
              <c:strCache>
                <c:ptCount val="1"/>
                <c:pt idx="0">
                  <c:v>Strategia 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Arkusz1!$B$18:$C$18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6-4823-A4F0-C9245C26FE96}"/>
            </c:ext>
          </c:extLst>
        </c:ser>
        <c:ser>
          <c:idx val="3"/>
          <c:order val="3"/>
          <c:tx>
            <c:strRef>
              <c:f>Arkusz1!$A$19</c:f>
              <c:strCache>
                <c:ptCount val="1"/>
                <c:pt idx="0">
                  <c:v>Strategia IV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Arkusz1!$B$19:$C$19</c:f>
              <c:numCache>
                <c:formatCode>General</c:formatCode>
                <c:ptCount val="2"/>
                <c:pt idx="0">
                  <c:v>-3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16-4823-A4F0-C9245C26FE96}"/>
            </c:ext>
          </c:extLst>
        </c:ser>
        <c:ser>
          <c:idx val="4"/>
          <c:order val="4"/>
          <c:tx>
            <c:strRef>
              <c:f>Arkusz1!$A$20</c:f>
              <c:strCache>
                <c:ptCount val="1"/>
                <c:pt idx="0">
                  <c:v>Strategia 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Arkusz1!$B$20:$C$20</c:f>
              <c:numCache>
                <c:formatCode>General</c:formatCode>
                <c:ptCount val="2"/>
                <c:pt idx="0">
                  <c:v>1</c:v>
                </c:pt>
                <c:pt idx="1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16-4823-A4F0-C9245C26FE96}"/>
            </c:ext>
          </c:extLst>
        </c:ser>
        <c:ser>
          <c:idx val="5"/>
          <c:order val="5"/>
          <c:tx>
            <c:strRef>
              <c:f>Arkusz1!$B$22:$B$23</c:f>
              <c:strCache>
                <c:ptCount val="1"/>
                <c:pt idx="0">
                  <c:v>p_opt v_opt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C716-4823-A4F0-C9245C26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975760"/>
        <c:axId val="1980976720"/>
      </c:lineChart>
      <c:catAx>
        <c:axId val="19809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976720"/>
        <c:crosses val="autoZero"/>
        <c:auto val="1"/>
        <c:lblAlgn val="ctr"/>
        <c:lblOffset val="100"/>
        <c:noMultiLvlLbl val="0"/>
      </c:catAx>
      <c:valAx>
        <c:axId val="19809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9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85726</xdr:colOff>
      <xdr:row>9</xdr:row>
      <xdr:rowOff>4762</xdr:rowOff>
    </xdr:from>
    <xdr:to>
      <xdr:col>9</xdr:col>
      <xdr:colOff>385764</xdr:colOff>
      <xdr:row>23</xdr:row>
      <xdr:rowOff>23813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A29024B-3D55-5E5C-6008-526A4F395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FAC9-4BF8-4EFA-9F65-6381197516BE}">
  <dimension ref="A1:AC36"/>
  <sheetViews>
    <sheetView tabSelected="1" topLeftCell="A7" workbookViewId="0">
      <selection activeCell="C22" sqref="C22"/>
    </sheetView>
  </sheetViews>
  <sheetFormatPr defaultRowHeight="14.25" x14ac:dyDescent="0.45"/>
  <cols>
    <col min="1" max="1" width="16.1328125" customWidth="1"/>
    <col min="2" max="3" width="10.53125" customWidth="1"/>
    <col min="4" max="4" width="11.33203125" customWidth="1"/>
    <col min="5" max="5" width="10.33203125" customWidth="1"/>
    <col min="6" max="6" width="11" customWidth="1"/>
    <col min="7" max="7" width="10" customWidth="1"/>
  </cols>
  <sheetData>
    <row r="1" spans="1:10" x14ac:dyDescent="0.45">
      <c r="A1" s="1"/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45">
      <c r="A2" s="1" t="s">
        <v>0</v>
      </c>
      <c r="B2" s="1">
        <v>-4</v>
      </c>
      <c r="C2" s="1">
        <v>2</v>
      </c>
      <c r="D2" s="1">
        <v>0</v>
      </c>
      <c r="E2" s="1">
        <v>3</v>
      </c>
      <c r="F2" s="1">
        <v>-2</v>
      </c>
      <c r="G2" s="1">
        <v>-4</v>
      </c>
    </row>
    <row r="3" spans="1:10" x14ac:dyDescent="0.45">
      <c r="A3" s="1" t="s">
        <v>1</v>
      </c>
      <c r="B3" s="1">
        <v>4</v>
      </c>
      <c r="C3" s="1">
        <v>-1</v>
      </c>
      <c r="D3" s="1">
        <v>0</v>
      </c>
      <c r="E3" s="1">
        <v>-3</v>
      </c>
      <c r="F3" s="1">
        <v>1</v>
      </c>
      <c r="G3" s="1">
        <v>-3</v>
      </c>
    </row>
    <row r="4" spans="1:10" x14ac:dyDescent="0.45">
      <c r="A4" s="1" t="s">
        <v>7</v>
      </c>
      <c r="B4" s="1">
        <v>4</v>
      </c>
      <c r="C4" s="1">
        <v>2</v>
      </c>
      <c r="D4" s="1">
        <v>0</v>
      </c>
      <c r="E4" s="1">
        <v>3</v>
      </c>
      <c r="F4" s="1">
        <v>1</v>
      </c>
      <c r="G4" s="1"/>
    </row>
    <row r="6" spans="1:10" x14ac:dyDescent="0.45">
      <c r="A6" s="1" t="s">
        <v>8</v>
      </c>
      <c r="B6" s="1">
        <v>-3</v>
      </c>
    </row>
    <row r="7" spans="1:10" x14ac:dyDescent="0.45">
      <c r="A7" s="1" t="s">
        <v>9</v>
      </c>
      <c r="B7" s="1">
        <v>0</v>
      </c>
    </row>
    <row r="8" spans="1:10" x14ac:dyDescent="0.45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45">
      <c r="B9" s="5">
        <v>0</v>
      </c>
      <c r="C9" s="2">
        <v>1</v>
      </c>
    </row>
    <row r="10" spans="1:10" x14ac:dyDescent="0.45">
      <c r="A10" s="1" t="s">
        <v>11</v>
      </c>
      <c r="B10" s="6" t="s">
        <v>12</v>
      </c>
      <c r="C10" s="6"/>
    </row>
    <row r="11" spans="1:10" x14ac:dyDescent="0.45">
      <c r="A11" s="1" t="s">
        <v>0</v>
      </c>
      <c r="B11" s="6" t="s">
        <v>13</v>
      </c>
      <c r="C11" s="6"/>
    </row>
    <row r="12" spans="1:10" x14ac:dyDescent="0.45">
      <c r="A12" s="1" t="s">
        <v>2</v>
      </c>
      <c r="B12" s="6" t="s">
        <v>14</v>
      </c>
      <c r="C12" s="6"/>
    </row>
    <row r="13" spans="1:10" x14ac:dyDescent="0.45">
      <c r="A13" s="1" t="s">
        <v>3</v>
      </c>
      <c r="B13" s="6" t="s">
        <v>15</v>
      </c>
      <c r="C13" s="6"/>
    </row>
    <row r="14" spans="1:10" x14ac:dyDescent="0.45">
      <c r="A14" s="1" t="s">
        <v>4</v>
      </c>
      <c r="B14" s="6" t="s">
        <v>16</v>
      </c>
      <c r="C14" s="6"/>
    </row>
    <row r="15" spans="1:10" x14ac:dyDescent="0.45">
      <c r="A15" s="1" t="s">
        <v>5</v>
      </c>
      <c r="B15" s="6" t="s">
        <v>17</v>
      </c>
      <c r="C15" s="6"/>
    </row>
    <row r="16" spans="1:10" x14ac:dyDescent="0.45">
      <c r="A16" s="1" t="s">
        <v>0</v>
      </c>
      <c r="B16" s="1">
        <f>4-8*B9</f>
        <v>4</v>
      </c>
      <c r="C16" s="1">
        <f>4-8*C9</f>
        <v>-4</v>
      </c>
    </row>
    <row r="17" spans="1:10" x14ac:dyDescent="0.45">
      <c r="A17" s="1" t="s">
        <v>2</v>
      </c>
      <c r="B17" s="1">
        <f>3*B9-1</f>
        <v>-1</v>
      </c>
      <c r="C17" s="1">
        <f>3*C9-1</f>
        <v>2</v>
      </c>
    </row>
    <row r="18" spans="1:10" x14ac:dyDescent="0.45">
      <c r="A18" s="1" t="s">
        <v>3</v>
      </c>
      <c r="B18" s="1">
        <v>0</v>
      </c>
      <c r="C18" s="1">
        <v>0</v>
      </c>
    </row>
    <row r="19" spans="1:10" x14ac:dyDescent="0.45">
      <c r="A19" s="1" t="s">
        <v>4</v>
      </c>
      <c r="B19" s="1">
        <f>6*B9-3</f>
        <v>-3</v>
      </c>
      <c r="C19" s="1">
        <f>6*C9-3</f>
        <v>3</v>
      </c>
    </row>
    <row r="20" spans="1:10" x14ac:dyDescent="0.45">
      <c r="A20" s="1" t="s">
        <v>5</v>
      </c>
      <c r="B20" s="1">
        <f>1-3*B9</f>
        <v>1</v>
      </c>
      <c r="C20" s="1">
        <f>1-3*C9</f>
        <v>-2</v>
      </c>
    </row>
    <row r="22" spans="1:10" x14ac:dyDescent="0.45">
      <c r="B22" s="1" t="s">
        <v>18</v>
      </c>
      <c r="C22" s="8">
        <f>4/9</f>
        <v>0.44444444444444442</v>
      </c>
    </row>
    <row r="23" spans="1:10" x14ac:dyDescent="0.45">
      <c r="B23" s="1" t="s">
        <v>19</v>
      </c>
      <c r="C23" s="1">
        <f>-1/3</f>
        <v>-0.33333333333333331</v>
      </c>
    </row>
    <row r="25" spans="1:10" x14ac:dyDescent="0.45">
      <c r="B25" s="6" t="s">
        <v>20</v>
      </c>
      <c r="C25" s="6"/>
      <c r="E25" s="7"/>
      <c r="F25" s="7"/>
      <c r="G25" s="7"/>
      <c r="H25" s="7"/>
      <c r="I25" s="7"/>
      <c r="J25" s="7"/>
    </row>
    <row r="26" spans="1:10" x14ac:dyDescent="0.45">
      <c r="B26" s="6" t="s">
        <v>21</v>
      </c>
      <c r="C26" s="6"/>
      <c r="E26" s="7"/>
      <c r="F26" s="7"/>
      <c r="G26" s="7"/>
      <c r="H26" s="7"/>
      <c r="I26" s="7"/>
      <c r="J26" s="7"/>
    </row>
    <row r="27" spans="1:10" x14ac:dyDescent="0.45">
      <c r="B27" s="6" t="s">
        <v>22</v>
      </c>
      <c r="C27" s="6"/>
      <c r="E27" s="7"/>
      <c r="F27" s="7"/>
      <c r="G27" s="7"/>
      <c r="H27" s="7"/>
      <c r="I27" s="7"/>
      <c r="J27" s="7"/>
    </row>
    <row r="28" spans="1:10" x14ac:dyDescent="0.45">
      <c r="B28" s="6" t="s">
        <v>23</v>
      </c>
      <c r="C28" s="6"/>
      <c r="E28" s="7"/>
      <c r="F28" s="7"/>
      <c r="G28" s="7"/>
      <c r="H28" s="7"/>
      <c r="I28" s="7"/>
      <c r="J28" s="7"/>
    </row>
    <row r="29" spans="1:10" x14ac:dyDescent="0.45">
      <c r="B29" s="6" t="s">
        <v>24</v>
      </c>
      <c r="C29" s="6"/>
      <c r="E29" s="7"/>
      <c r="F29" s="7"/>
      <c r="G29" s="7"/>
      <c r="H29" s="7"/>
      <c r="I29" s="7"/>
      <c r="J29" s="7"/>
    </row>
    <row r="30" spans="1:10" x14ac:dyDescent="0.45">
      <c r="E30" s="7"/>
      <c r="F30" s="7"/>
      <c r="G30" s="7"/>
      <c r="H30" s="7"/>
      <c r="I30" s="7"/>
      <c r="J30" s="7"/>
    </row>
    <row r="31" spans="1:10" x14ac:dyDescent="0.45">
      <c r="A31" s="1" t="s">
        <v>25</v>
      </c>
      <c r="B31" s="6" t="s">
        <v>28</v>
      </c>
      <c r="C31" s="6"/>
      <c r="E31" s="7"/>
      <c r="F31" s="7"/>
      <c r="G31" s="7"/>
      <c r="H31" s="7"/>
      <c r="I31" s="7"/>
      <c r="J31" s="7"/>
    </row>
    <row r="32" spans="1:10" x14ac:dyDescent="0.45">
      <c r="A32" s="1" t="s">
        <v>26</v>
      </c>
      <c r="B32" s="6" t="s">
        <v>29</v>
      </c>
      <c r="C32" s="6"/>
      <c r="E32" s="7"/>
      <c r="F32" s="7"/>
      <c r="G32" s="7"/>
      <c r="H32" s="7"/>
      <c r="I32" s="7"/>
      <c r="J32" s="7"/>
    </row>
    <row r="33" spans="1:29" x14ac:dyDescent="0.45">
      <c r="A33" s="1" t="s">
        <v>27</v>
      </c>
      <c r="B33" s="6" t="s">
        <v>30</v>
      </c>
      <c r="C33" s="6"/>
      <c r="E33" s="7"/>
      <c r="F33" s="7"/>
      <c r="G33" s="7"/>
      <c r="H33" s="7"/>
      <c r="I33" s="7"/>
      <c r="J33" s="7"/>
    </row>
    <row r="34" spans="1:29" x14ac:dyDescent="0.45">
      <c r="A34" s="1" t="s">
        <v>11</v>
      </c>
      <c r="B34" s="6" t="s">
        <v>31</v>
      </c>
      <c r="C34" s="6"/>
      <c r="E34" s="7"/>
      <c r="F34" s="7"/>
      <c r="G34" s="7"/>
      <c r="H34" s="7"/>
      <c r="I34" s="7"/>
      <c r="J34" s="7"/>
    </row>
    <row r="36" spans="1:29" x14ac:dyDescent="0.45">
      <c r="A36" s="4" t="s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</sheetData>
  <mergeCells count="17">
    <mergeCell ref="A36:AC36"/>
    <mergeCell ref="B31:C31"/>
    <mergeCell ref="B32:C32"/>
    <mergeCell ref="B33:C33"/>
    <mergeCell ref="B34:C34"/>
    <mergeCell ref="B14:C14"/>
    <mergeCell ref="B15:C15"/>
    <mergeCell ref="B25:C25"/>
    <mergeCell ref="B26:C26"/>
    <mergeCell ref="B27:C27"/>
    <mergeCell ref="B28:C28"/>
    <mergeCell ref="B29:C29"/>
    <mergeCell ref="A8:J8"/>
    <mergeCell ref="B10:C10"/>
    <mergeCell ref="B11:C11"/>
    <mergeCell ref="B12:C12"/>
    <mergeCell ref="B13:C13"/>
  </mergeCells>
  <conditionalFormatting sqref="G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Kompała</dc:creator>
  <cp:lastModifiedBy>Artur Kompała</cp:lastModifiedBy>
  <dcterms:created xsi:type="dcterms:W3CDTF">2025-12-02T09:03:02Z</dcterms:created>
  <dcterms:modified xsi:type="dcterms:W3CDTF">2025-12-18T14:44:14Z</dcterms:modified>
</cp:coreProperties>
</file>